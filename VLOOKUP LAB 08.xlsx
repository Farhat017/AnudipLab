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AIKH\Downloads\ANUDEEP\"/>
    </mc:Choice>
  </mc:AlternateContent>
  <xr:revisionPtr revIDLastSave="0" documentId="8_{32529E60-EE55-4B35-ADE0-F7D1EB1BC660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A3" i="4"/>
  <c r="A4" i="4"/>
  <c r="A5" i="4"/>
  <c r="A6" i="4"/>
  <c r="A7" i="4"/>
  <c r="A2" i="4"/>
  <c r="C2" i="4" s="1"/>
  <c r="H3" i="2"/>
  <c r="H4" i="2"/>
  <c r="H5" i="2"/>
  <c r="H6" i="2"/>
  <c r="H7" i="2"/>
  <c r="H2" i="2"/>
  <c r="B2" i="3"/>
  <c r="B3" i="4"/>
  <c r="B4" i="4"/>
  <c r="B5" i="4"/>
  <c r="B6" i="4"/>
  <c r="B7" i="4"/>
  <c r="B2" i="4"/>
  <c r="G3" i="2"/>
  <c r="G4" i="2"/>
  <c r="G5" i="2"/>
  <c r="G6" i="2"/>
  <c r="G7" i="2"/>
  <c r="G2" i="2"/>
  <c r="F3" i="2"/>
  <c r="F4" i="2"/>
  <c r="F5" i="2"/>
  <c r="F6" i="2"/>
  <c r="F7" i="2"/>
  <c r="F2" i="2"/>
  <c r="E7" i="2"/>
  <c r="E6" i="2"/>
  <c r="E3" i="2"/>
  <c r="E4" i="2"/>
  <c r="E5" i="2"/>
  <c r="E2" i="2"/>
  <c r="D7" i="2"/>
  <c r="D6" i="2"/>
  <c r="D2" i="2"/>
  <c r="D3" i="2"/>
  <c r="D4" i="2"/>
  <c r="D5" i="2"/>
</calcChain>
</file>

<file path=xl/sharedStrings.xml><?xml version="1.0" encoding="utf-8"?>
<sst xmlns="http://schemas.openxmlformats.org/spreadsheetml/2006/main" count="32" uniqueCount="29">
  <si>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</si>
  <si>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</si>
  <si>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</si>
  <si>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</si>
  <si>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</si>
  <si>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</si>
  <si>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</si>
  <si>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</si>
  <si>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</si>
  <si>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</si>
  <si>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</si>
  <si>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</si>
  <si>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</si>
  <si>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</si>
  <si>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</si>
  <si>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</si>
  <si>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</si>
  <si>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</si>
  <si>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</si>
  <si>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</si>
  <si>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</si>
  <si>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</si>
  <si>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</si>
  <si>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r>
      <t>T</t>
    </r>
    <r>
      <rPr>
        <b/>
        <sz val="11"/>
        <rFont val="Calibri"/>
        <family val="2"/>
      </rPr>
      <t xml:space="preserve">ask : </t>
    </r>
  </si>
  <si>
    <t xml:space="preserve">Result </t>
  </si>
  <si>
    <t xml:space="preserve">Maximum Order Value : </t>
  </si>
  <si>
    <t xml:space="preserve">Product not Orderd : </t>
  </si>
  <si>
    <t xml:space="preserve">Total Quantity Sold </t>
  </si>
  <si>
    <t>ALL PRODUCT ARE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</si>
</sst>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i/>
      <sz val="12"/>
      <name val="Aptos Narrow"/>
      <family val="2"/>
    </font>
    <font>
      <i/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5.75" x14ac:dyDescent="0.25"/>
  <cols>
    <col min="1" max="1" width="9.140625" style="7"/>
    <col min="2" max="2" width="13.42578125" style="7" customWidth="1"/>
    <col min="3" max="16384" width="9.140625" style="7"/>
  </cols>
  <sheetData>
    <row r="1" spans="1:3" x14ac:dyDescent="0.25">
      <c r="A1" s="6" t="s">
        <v>0</v>
      </c>
      <c r="B1" s="6" t="s">
        <v>1</v>
      </c>
      <c r="C1" s="6" t="s">
        <v>2</v>
      </c>
    </row>
    <row r="2" spans="1:3" x14ac:dyDescent="0.25">
      <c r="A2" s="8">
        <v>101</v>
      </c>
      <c r="B2" s="8" t="s">
        <v>3</v>
      </c>
      <c r="C2" s="8">
        <v>120</v>
      </c>
    </row>
    <row r="3" spans="1:3" x14ac:dyDescent="0.25">
      <c r="A3" s="8">
        <v>102</v>
      </c>
      <c r="B3" s="8" t="s">
        <v>4</v>
      </c>
      <c r="C3" s="8">
        <v>150</v>
      </c>
    </row>
    <row r="4" spans="1:3" x14ac:dyDescent="0.25">
      <c r="A4" s="8">
        <v>103</v>
      </c>
      <c r="B4" s="8" t="s">
        <v>5</v>
      </c>
      <c r="C4" s="8">
        <v>200</v>
      </c>
    </row>
    <row r="5" spans="1:3" x14ac:dyDescent="0.25">
      <c r="A5" s="8">
        <v>104</v>
      </c>
      <c r="B5" s="8" t="s">
        <v>6</v>
      </c>
      <c r="C5" s="8">
        <v>90</v>
      </c>
    </row>
    <row r="6" spans="1:3" x14ac:dyDescent="0.25">
      <c r="A6" s="8">
        <v>105</v>
      </c>
      <c r="B6" s="8" t="s">
        <v>7</v>
      </c>
      <c r="C6" s="8">
        <v>220</v>
      </c>
    </row>
    <row r="7" spans="1:3" x14ac:dyDescent="0.25">
      <c r="A7" s="8">
        <v>106</v>
      </c>
      <c r="B7" s="8" t="s">
        <v>8</v>
      </c>
      <c r="C7" s="8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="82" zoomScaleNormal="82" workbookViewId="0">
      <selection activeCell="A3" sqref="A3"/>
    </sheetView>
  </sheetViews>
  <sheetFormatPr defaultRowHeight="15.75" x14ac:dyDescent="0.25"/>
  <cols>
    <col min="1" max="1" width="12" style="4" customWidth="1"/>
    <col min="2" max="2" width="14" style="4" customWidth="1"/>
    <col min="3" max="3" width="13" style="4" customWidth="1"/>
    <col min="4" max="5" width="44" style="4" customWidth="1"/>
    <col min="6" max="6" width="15" style="4" customWidth="1"/>
    <col min="7" max="7" width="20" style="4" customWidth="1"/>
    <col min="8" max="8" width="75" style="4" customWidth="1"/>
    <col min="9" max="16384" width="9.140625" style="4"/>
  </cols>
  <sheetData>
    <row r="1" spans="1:8" x14ac:dyDescent="0.25">
      <c r="A1" s="6" t="s">
        <v>9</v>
      </c>
      <c r="B1" s="6" t="s">
        <v>0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</row>
    <row r="2" spans="1:8" x14ac:dyDescent="0.25">
      <c r="A2" s="8">
        <v>1</v>
      </c>
      <c r="B2" s="8">
        <v>101</v>
      </c>
      <c r="C2" s="8">
        <v>2</v>
      </c>
      <c r="D2" s="8" t="str">
        <f>VLOOKUP(B2,Products!A2:C7,2,FALSE)</f>
        <v>Product A</v>
      </c>
      <c r="E2" s="8">
        <f>VLOOKUP(B2,Products!A2:C7,3,FALSE)</f>
        <v>120</v>
      </c>
      <c r="F2" s="8">
        <f>C2*E2</f>
        <v>240</v>
      </c>
      <c r="G2" s="8">
        <f>E2*90%</f>
        <v>108</v>
      </c>
      <c r="H2" s="8" t="str">
        <f>IF(ISNA(VLOOKUP(B2,Products!$A$2:$A$7,1,FALSE)),"No","Yes")</f>
        <v>Yes</v>
      </c>
    </row>
    <row r="3" spans="1:8" x14ac:dyDescent="0.25">
      <c r="A3" s="8">
        <v>2</v>
      </c>
      <c r="B3" s="8">
        <v>103</v>
      </c>
      <c r="C3" s="8">
        <v>1</v>
      </c>
      <c r="D3" s="8" t="str">
        <f>VLOOKUP(B3,Products!A3:C8,2,FALSE)</f>
        <v>Product C</v>
      </c>
      <c r="E3" s="8">
        <f>VLOOKUP(B3,Products!A3:C8,3,FALSE)</f>
        <v>200</v>
      </c>
      <c r="F3" s="8">
        <f t="shared" ref="F3:F7" si="0">C3*E3</f>
        <v>200</v>
      </c>
      <c r="G3" s="8">
        <f t="shared" ref="G3:G7" si="1">E3*90%</f>
        <v>180</v>
      </c>
      <c r="H3" s="8" t="str">
        <f>IF(ISNA(VLOOKUP(B3,Products!$A$2:$A$7,1,FALSE)),"No","Yes")</f>
        <v>Yes</v>
      </c>
    </row>
    <row r="4" spans="1:8" x14ac:dyDescent="0.25">
      <c r="A4" s="8">
        <v>3</v>
      </c>
      <c r="B4" s="8">
        <v>105</v>
      </c>
      <c r="C4" s="8">
        <v>4</v>
      </c>
      <c r="D4" s="8" t="str">
        <f>VLOOKUP(B4,Products!A4:C9,2,FALSE)</f>
        <v>Product E</v>
      </c>
      <c r="E4" s="8">
        <f>VLOOKUP(B4,Products!A4:C9,3,FALSE)</f>
        <v>220</v>
      </c>
      <c r="F4" s="8">
        <f t="shared" si="0"/>
        <v>880</v>
      </c>
      <c r="G4" s="8">
        <f t="shared" si="1"/>
        <v>198</v>
      </c>
      <c r="H4" s="8" t="str">
        <f>IF(ISNA(VLOOKUP(B4,Products!$A$2:$A$7,1,FALSE)),"No","Yes")</f>
        <v>Yes</v>
      </c>
    </row>
    <row r="5" spans="1:8" x14ac:dyDescent="0.25">
      <c r="A5" s="8">
        <v>4</v>
      </c>
      <c r="B5" s="8">
        <v>106</v>
      </c>
      <c r="C5" s="8">
        <v>3</v>
      </c>
      <c r="D5" s="8" t="str">
        <f>VLOOKUP(B5,Products!A5:C10,2,FALSE)</f>
        <v>Product F</v>
      </c>
      <c r="E5" s="8">
        <f>VLOOKUP(B5,Products!A5:C10,3,FALSE)</f>
        <v>130</v>
      </c>
      <c r="F5" s="8">
        <f t="shared" si="0"/>
        <v>390</v>
      </c>
      <c r="G5" s="8">
        <f t="shared" si="1"/>
        <v>117</v>
      </c>
      <c r="H5" s="8" t="str">
        <f>IF(ISNA(VLOOKUP(B5,Products!$A$2:$A$7,1,FALSE)),"No","Yes")</f>
        <v>Yes</v>
      </c>
    </row>
    <row r="6" spans="1:8" x14ac:dyDescent="0.25">
      <c r="A6" s="8">
        <v>5</v>
      </c>
      <c r="B6" s="8">
        <v>102</v>
      </c>
      <c r="C6" s="8">
        <v>5</v>
      </c>
      <c r="D6" s="8" t="str">
        <f>VLOOKUP(B6,Products!A2:C7,2,FALSE)</f>
        <v>Product B</v>
      </c>
      <c r="E6" s="8">
        <f>VLOOKUP(B6,Products!A2:C7,3,FALSE)</f>
        <v>150</v>
      </c>
      <c r="F6" s="8">
        <f t="shared" si="0"/>
        <v>750</v>
      </c>
      <c r="G6" s="8">
        <f t="shared" si="1"/>
        <v>135</v>
      </c>
      <c r="H6" s="8" t="str">
        <f>IF(ISNA(VLOOKUP(B6,Products!$A$2:$A$7,1,FALSE)),"No","Yes")</f>
        <v>Yes</v>
      </c>
    </row>
    <row r="7" spans="1:8" x14ac:dyDescent="0.25">
      <c r="A7" s="8">
        <v>6</v>
      </c>
      <c r="B7" s="8">
        <v>104</v>
      </c>
      <c r="C7" s="8">
        <v>6</v>
      </c>
      <c r="D7" s="8" t="str">
        <f>VLOOKUP(B7,Products!A2:C7,2,FALSE)</f>
        <v>Product D</v>
      </c>
      <c r="E7" s="8">
        <f>VLOOKUP(B7,Products!A2:C7,3,FALSE)</f>
        <v>90</v>
      </c>
      <c r="F7" s="8">
        <f t="shared" si="0"/>
        <v>540</v>
      </c>
      <c r="G7" s="8">
        <f t="shared" si="1"/>
        <v>81</v>
      </c>
      <c r="H7" s="8" t="str">
        <f>IF(ISNA(VLOOKUP(B7,Products!$A$2:$A$7,1,FALSE)),"No","Yes")</f>
        <v>Yes</v>
      </c>
    </row>
    <row r="10" spans="1:8" x14ac:dyDescent="0.25">
      <c r="A10" s="5" t="s">
        <v>16</v>
      </c>
      <c r="B10" s="5"/>
      <c r="C10" s="5"/>
      <c r="D10" s="5"/>
      <c r="E10" s="5"/>
      <c r="F10" s="5"/>
      <c r="G10" s="5"/>
    </row>
    <row r="11" spans="1:8" x14ac:dyDescent="0.25">
      <c r="A11" s="5" t="s">
        <v>17</v>
      </c>
      <c r="B11" s="5"/>
      <c r="C11" s="5"/>
      <c r="D11" s="5"/>
      <c r="E11" s="5"/>
      <c r="F11" s="5"/>
      <c r="G11" s="5"/>
    </row>
    <row r="12" spans="1:8" x14ac:dyDescent="0.25">
      <c r="A12" s="5" t="s">
        <v>18</v>
      </c>
      <c r="B12" s="5"/>
      <c r="C12" s="5"/>
      <c r="D12" s="5"/>
      <c r="E12" s="5"/>
      <c r="F12" s="5"/>
      <c r="G12" s="5"/>
    </row>
    <row r="13" spans="1:8" x14ac:dyDescent="0.25">
      <c r="A13" s="5" t="s">
        <v>19</v>
      </c>
      <c r="B13" s="5"/>
      <c r="C13" s="5"/>
      <c r="D13" s="5"/>
      <c r="E13" s="5"/>
      <c r="F13" s="5"/>
      <c r="G13" s="5"/>
    </row>
    <row r="14" spans="1:8" x14ac:dyDescent="0.25">
      <c r="A14" s="5" t="s">
        <v>20</v>
      </c>
      <c r="B14" s="5"/>
      <c r="C14" s="5"/>
      <c r="D14" s="5"/>
      <c r="E14" s="5"/>
      <c r="F14" s="5"/>
      <c r="G14" s="5"/>
    </row>
    <row r="15" spans="1:8" x14ac:dyDescent="0.25">
      <c r="A15" s="5" t="s">
        <v>21</v>
      </c>
      <c r="B15" s="5"/>
      <c r="C15" s="5"/>
      <c r="D15" s="5"/>
      <c r="E15" s="5"/>
      <c r="F15" s="5"/>
      <c r="G15" s="5"/>
    </row>
    <row r="16" spans="1:8" x14ac:dyDescent="0.25">
      <c r="A16" s="5" t="s">
        <v>22</v>
      </c>
      <c r="B16" s="5"/>
      <c r="C16" s="5"/>
      <c r="D16" s="5"/>
      <c r="E16" s="5"/>
      <c r="F16" s="5"/>
      <c r="G16" s="5"/>
    </row>
  </sheetData>
  <mergeCells count="7">
    <mergeCell ref="A16:G16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3" sqref="B3"/>
    </sheetView>
  </sheetViews>
  <sheetFormatPr defaultRowHeight="15" x14ac:dyDescent="0.25"/>
  <cols>
    <col min="1" max="1" width="23" customWidth="1"/>
    <col min="2" max="2" width="32.5703125" customWidth="1"/>
  </cols>
  <sheetData>
    <row r="1" spans="1:2" x14ac:dyDescent="0.25">
      <c r="A1" s="1" t="s">
        <v>23</v>
      </c>
      <c r="B1" s="2" t="s">
        <v>24</v>
      </c>
    </row>
    <row r="2" spans="1:2" x14ac:dyDescent="0.25">
      <c r="A2" t="s">
        <v>25</v>
      </c>
      <c r="B2" s="3">
        <f>MAX(Orders!F2:F7)</f>
        <v>880</v>
      </c>
    </row>
    <row r="3" spans="1:2" x14ac:dyDescent="0.25">
      <c r="A3" t="s">
        <v>26</v>
      </c>
      <c r="B3" s="3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workbookViewId="0">
      <selection activeCell="E7" sqref="E7"/>
    </sheetView>
  </sheetViews>
  <sheetFormatPr defaultRowHeight="15" x14ac:dyDescent="0.25"/>
  <cols>
    <col min="1" max="1" width="18.42578125" customWidth="1"/>
    <col min="2" max="2" width="19.140625" customWidth="1"/>
    <col min="3" max="3" width="21.140625" customWidth="1"/>
  </cols>
  <sheetData>
    <row r="1" spans="1:4" ht="15.75" x14ac:dyDescent="0.25">
      <c r="A1" s="9" t="s">
        <v>0</v>
      </c>
      <c r="B1" s="9" t="s">
        <v>11</v>
      </c>
      <c r="C1" s="9" t="s">
        <v>27</v>
      </c>
    </row>
    <row r="2" spans="1:4" ht="15.75" x14ac:dyDescent="0.25">
      <c r="A2" s="10">
        <f>Orders!B2</f>
        <v>101</v>
      </c>
      <c r="B2" s="10" t="str">
        <f>Products!B2</f>
        <v>Product A</v>
      </c>
      <c r="C2" s="10">
        <f>SUMIF(Orders!$B$2:$B$7,A2,Orders!$C$2:$C$7)</f>
        <v>2</v>
      </c>
      <c r="D2" s="10"/>
    </row>
    <row r="3" spans="1:4" ht="15.75" x14ac:dyDescent="0.25">
      <c r="A3" s="10">
        <f>Orders!B3</f>
        <v>103</v>
      </c>
      <c r="B3" s="10" t="str">
        <f>Products!B3</f>
        <v>Product B</v>
      </c>
      <c r="C3" s="10">
        <f>SUMIF(Orders!$B$2:$B$7,A3,Orders!$C$2:$C$7)</f>
        <v>1</v>
      </c>
    </row>
    <row r="4" spans="1:4" ht="15.75" x14ac:dyDescent="0.25">
      <c r="A4" s="10">
        <f>Orders!B4</f>
        <v>105</v>
      </c>
      <c r="B4" s="10" t="str">
        <f>Products!B4</f>
        <v>Product C</v>
      </c>
      <c r="C4" s="10">
        <f>SUMIF(Orders!$B$2:$B$7,A4,Orders!$C$2:$C$7)</f>
        <v>4</v>
      </c>
    </row>
    <row r="5" spans="1:4" ht="15.75" x14ac:dyDescent="0.25">
      <c r="A5" s="10">
        <f>Orders!B5</f>
        <v>106</v>
      </c>
      <c r="B5" s="10" t="str">
        <f>Products!B5</f>
        <v>Product D</v>
      </c>
      <c r="C5" s="10">
        <f>SUMIF(Orders!$B$2:$B$7,A5,Orders!$C$2:$C$7)</f>
        <v>3</v>
      </c>
    </row>
    <row r="6" spans="1:4" ht="15.75" x14ac:dyDescent="0.25">
      <c r="A6" s="10">
        <f>Orders!B6</f>
        <v>102</v>
      </c>
      <c r="B6" s="10" t="str">
        <f>Products!B6</f>
        <v>Product E</v>
      </c>
      <c r="C6" s="10">
        <f>SUMIF(Orders!$B$2:$B$7,A6,Orders!$C$2:$C$7)</f>
        <v>5</v>
      </c>
    </row>
    <row r="7" spans="1:4" ht="15.75" x14ac:dyDescent="0.25">
      <c r="A7" s="10">
        <f>Orders!B7</f>
        <v>104</v>
      </c>
      <c r="B7" s="10" t="str">
        <f>Products!B7</f>
        <v>Product F</v>
      </c>
      <c r="C7" s="10">
        <f>SUMIF(Orders!$B$2:$B$7,A7,Orders!$C$2:$C$7)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shaikh rohan</cp:lastModifiedBy>
  <dcterms:created xsi:type="dcterms:W3CDTF">2026-07-03T07:17:40Z</dcterms:created>
  <dcterms:modified xsi:type="dcterms:W3CDTF">2026-07-03T09:17:36Z</dcterms:modified>
</cp:coreProperties>
</file>